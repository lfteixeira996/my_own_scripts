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ilip\Desktop\"/>
    </mc:Choice>
  </mc:AlternateContent>
  <xr:revisionPtr revIDLastSave="0" documentId="13_ncr:1_{695F6D9A-75F7-4298-A6BF-8F9DB2BAA58F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Simple Receipt (light)" sheetId="20" r:id="rId1"/>
  </sheets>
  <definedNames>
    <definedName name="_xlnm.Print_Area" localSheetId="0">'Simple Receipt (light)'!$A$1:$I$38</definedName>
    <definedName name="valuevx">42.314159</definedName>
    <definedName name="vertex42_copyright" hidden="1">"© 2013-2014 Vertex42 LLC"</definedName>
    <definedName name="vertex42_id" hidden="1">"simple-receipt.xlsx"</definedName>
    <definedName name="vertex42_title" hidden="1">"Simple Receipt Template"</definedName>
  </definedNames>
  <calcPr calcId="181029"/>
</workbook>
</file>

<file path=xl/calcChain.xml><?xml version="1.0" encoding="utf-8"?>
<calcChain xmlns="http://schemas.openxmlformats.org/spreadsheetml/2006/main">
  <c r="H13" i="20" l="1"/>
  <c r="S10" i="20" l="1"/>
  <c r="S11" i="20" l="1"/>
  <c r="S7" i="20"/>
  <c r="S8" i="20"/>
  <c r="S9" i="20"/>
  <c r="S6" i="20"/>
  <c r="T10" i="20" l="1"/>
  <c r="T7" i="20"/>
  <c r="T9" i="20"/>
  <c r="T6" i="20"/>
  <c r="F8" i="20" s="1"/>
  <c r="T8" i="20"/>
  <c r="T11" i="20"/>
  <c r="F7" i="20" l="1"/>
  <c r="F10" i="20"/>
  <c r="F9" i="20"/>
  <c r="H28" i="20"/>
  <c r="H29" i="20" s="1"/>
  <c r="H4" i="20"/>
</calcChain>
</file>

<file path=xl/sharedStrings.xml><?xml version="1.0" encoding="utf-8"?>
<sst xmlns="http://schemas.openxmlformats.org/spreadsheetml/2006/main" count="64" uniqueCount="52">
  <si>
    <t>TOTAL</t>
  </si>
  <si>
    <t>SUBTOTAL</t>
  </si>
  <si>
    <t>[42]</t>
  </si>
  <si>
    <t>help1</t>
  </si>
  <si>
    <t>help2</t>
  </si>
  <si>
    <t>help3</t>
  </si>
  <si>
    <t>Condominium XPTO</t>
  </si>
  <si>
    <t>Recipt</t>
  </si>
  <si>
    <t>Date</t>
  </si>
  <si>
    <t>RECIPT #</t>
  </si>
  <si>
    <t>FROM</t>
  </si>
  <si>
    <t>TO</t>
  </si>
  <si>
    <t>Name</t>
  </si>
  <si>
    <t>Address</t>
  </si>
  <si>
    <t>Email</t>
  </si>
  <si>
    <t>Description</t>
  </si>
  <si>
    <t>Value</t>
  </si>
  <si>
    <t>COMMENTS</t>
  </si>
  <si>
    <t>Taxe Number</t>
  </si>
  <si>
    <t>Street 1</t>
  </si>
  <si>
    <t>Street 2</t>
  </si>
  <si>
    <t>Street 3</t>
  </si>
  <si>
    <t>Street 4</t>
  </si>
  <si>
    <t>Street 5</t>
  </si>
  <si>
    <t>Street 6</t>
  </si>
  <si>
    <t>Spain</t>
  </si>
  <si>
    <t>John</t>
  </si>
  <si>
    <t>Luis</t>
  </si>
  <si>
    <t>Peter</t>
  </si>
  <si>
    <t>Mario</t>
  </si>
  <si>
    <t>Dave</t>
  </si>
  <si>
    <t>Sonja</t>
  </si>
  <si>
    <t>Fraction</t>
  </si>
  <si>
    <t>Fraction A</t>
  </si>
  <si>
    <t>Fraction B</t>
  </si>
  <si>
    <t>Fraction C</t>
  </si>
  <si>
    <t>Fraction D</t>
  </si>
  <si>
    <t>Fraction E</t>
  </si>
  <si>
    <t>Fraction F</t>
  </si>
  <si>
    <t xml:space="preserve">Month cost of </t>
  </si>
  <si>
    <t>January</t>
  </si>
  <si>
    <t>February</t>
  </si>
  <si>
    <t>March</t>
  </si>
  <si>
    <t>April</t>
  </si>
  <si>
    <t>May</t>
  </si>
  <si>
    <t>June</t>
  </si>
  <si>
    <t>Jully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</si>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</sst>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43" x14ac:knownFonts="1">
    <font>
      <sz val="10"/>
      <name val="Trebuchet MS"/>
      <family val="2"/>
    </font>
    <font>
      <sz val="10"/>
      <color theme="1"/>
      <name val="Arial"/>
      <family val="2"/>
    </font>
    <font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0"/>
      <name val="Arial"/>
      <family val="2"/>
    </font>
    <font>
      <b/>
      <sz val="8"/>
      <color theme="1" tint="0.249977111117893"/>
      <name val="Arial"/>
      <family val="2"/>
    </font>
    <font>
      <sz val="24"/>
      <color theme="4"/>
      <name val="Arial"/>
      <family val="2"/>
    </font>
    <font>
      <b/>
      <sz val="8"/>
      <color theme="4"/>
      <name val="Arial"/>
      <family val="2"/>
    </font>
    <font>
      <b/>
      <sz val="9"/>
      <color theme="4"/>
      <name val="Arial"/>
      <family val="2"/>
    </font>
    <font>
      <b/>
      <sz val="28"/>
      <color theme="4"/>
      <name val="Arial"/>
      <family val="2"/>
    </font>
    <font>
      <sz val="10"/>
      <color theme="4" tint="-0.249977111117893"/>
      <name val="Arial"/>
      <family val="2"/>
    </font>
    <font>
      <sz val="1"/>
      <color theme="0"/>
      <name val="Arial"/>
      <family val="2"/>
    </font>
    <font>
      <sz val="30"/>
      <color theme="4"/>
      <name val="Arial"/>
      <family val="2"/>
    </font>
    <font>
      <sz val="9"/>
      <name val="Arial"/>
      <family val="2"/>
    </font>
    <font>
      <sz val="8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 style="double">
        <color theme="1" tint="0.499984740745262"/>
      </top>
      <bottom/>
      <diagonal/>
    </border>
    <border>
      <left/>
      <right style="hair">
        <color auto="1"/>
      </right>
      <top/>
      <bottom/>
      <diagonal/>
    </border>
    <border>
      <left/>
      <right/>
      <top style="thin">
        <color theme="4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thin">
        <color theme="4"/>
      </bottom>
      <diagonal/>
    </border>
    <border>
      <left style="hair">
        <color theme="0" tint="-0.34998626667073579"/>
      </left>
      <right/>
      <top style="thin">
        <color theme="4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4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165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18" fillId="5" borderId="7" applyNumberFormat="0" applyFont="0" applyAlignment="0" applyProtection="0"/>
    <xf numFmtId="0" fontId="19" fillId="17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85">
    <xf numFmtId="0" fontId="0" fillId="0" borderId="0" xfId="0"/>
    <xf numFmtId="0" fontId="24" fillId="20" borderId="15" xfId="0" applyFont="1" applyFill="1" applyBorder="1" applyAlignment="1">
      <alignment horizontal="right" indent="1"/>
    </xf>
    <xf numFmtId="0" fontId="23" fillId="0" borderId="0" xfId="28" applyNumberFormat="1" applyFont="1" applyFill="1" applyAlignment="1">
      <alignment horizontal="left" vertical="center"/>
    </xf>
    <xf numFmtId="0" fontId="30" fillId="20" borderId="0" xfId="0" applyFont="1" applyFill="1" applyBorder="1" applyAlignment="1" applyProtection="1">
      <alignment horizontal="left" vertical="top"/>
      <protection locked="0"/>
    </xf>
    <xf numFmtId="0" fontId="30" fillId="2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Border="1"/>
    <xf numFmtId="0" fontId="29" fillId="20" borderId="0" xfId="0" applyFont="1" applyFill="1" applyBorder="1" applyAlignment="1" applyProtection="1">
      <alignment horizontal="left" vertical="center"/>
      <protection locked="0"/>
    </xf>
    <xf numFmtId="0" fontId="26" fillId="20" borderId="0" xfId="0" applyFont="1" applyFill="1" applyBorder="1"/>
    <xf numFmtId="0" fontId="29" fillId="20" borderId="0" xfId="0" applyFont="1" applyFill="1" applyBorder="1" applyAlignment="1">
      <alignment vertical="center"/>
    </xf>
    <xf numFmtId="0" fontId="26" fillId="20" borderId="0" xfId="0" applyFont="1" applyFill="1" applyBorder="1" applyAlignment="1" applyProtection="1">
      <alignment horizontal="left" indent="1"/>
      <protection locked="0"/>
    </xf>
    <xf numFmtId="0" fontId="23" fillId="0" borderId="0" xfId="0" applyFont="1" applyAlignment="1">
      <alignment vertical="center"/>
    </xf>
    <xf numFmtId="0" fontId="28" fillId="20" borderId="0" xfId="0" applyFont="1" applyFill="1" applyBorder="1" applyAlignment="1">
      <alignment horizontal="left"/>
    </xf>
    <xf numFmtId="0" fontId="31" fillId="20" borderId="0" xfId="0" applyFont="1" applyFill="1" applyBorder="1" applyAlignment="1">
      <alignment horizontal="left"/>
    </xf>
    <xf numFmtId="0" fontId="28" fillId="20" borderId="0" xfId="0" applyFont="1" applyFill="1" applyBorder="1"/>
    <xf numFmtId="0" fontId="29" fillId="20" borderId="0" xfId="0" applyFont="1" applyFill="1" applyBorder="1"/>
    <xf numFmtId="164" fontId="30" fillId="20" borderId="0" xfId="0" applyNumberFormat="1" applyFont="1" applyFill="1" applyBorder="1" applyAlignment="1">
      <alignment horizontal="right" vertical="center"/>
    </xf>
    <xf numFmtId="0" fontId="31" fillId="20" borderId="0" xfId="0" applyFont="1" applyFill="1" applyBorder="1" applyAlignment="1">
      <alignment horizontal="left" vertical="center" indent="1"/>
    </xf>
    <xf numFmtId="0" fontId="30" fillId="2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8" fillId="0" borderId="0" xfId="0" applyFont="1" applyBorder="1"/>
    <xf numFmtId="0" fontId="8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0" fontId="8" fillId="20" borderId="0" xfId="0" applyFont="1" applyFill="1" applyBorder="1"/>
    <xf numFmtId="0" fontId="8" fillId="20" borderId="0" xfId="0" applyFont="1" applyFill="1"/>
    <xf numFmtId="0" fontId="33" fillId="20" borderId="0" xfId="0" applyFont="1" applyFill="1" applyBorder="1" applyAlignment="1">
      <alignment horizontal="right"/>
    </xf>
    <xf numFmtId="0" fontId="33" fillId="20" borderId="0" xfId="0" applyFont="1" applyFill="1" applyBorder="1" applyAlignment="1">
      <alignment horizontal="right" vertical="center"/>
    </xf>
    <xf numFmtId="0" fontId="33" fillId="20" borderId="0" xfId="0" applyFont="1" applyFill="1" applyBorder="1" applyAlignment="1">
      <alignment horizontal="right" vertical="top"/>
    </xf>
    <xf numFmtId="0" fontId="26" fillId="20" borderId="10" xfId="0" applyFont="1" applyFill="1" applyBorder="1" applyAlignment="1">
      <alignment vertical="center"/>
    </xf>
    <xf numFmtId="0" fontId="31" fillId="20" borderId="10" xfId="0" applyFont="1" applyFill="1" applyBorder="1" applyAlignment="1">
      <alignment horizontal="left"/>
    </xf>
    <xf numFmtId="0" fontId="8" fillId="0" borderId="11" xfId="0" applyFont="1" applyBorder="1"/>
    <xf numFmtId="0" fontId="35" fillId="20" borderId="10" xfId="0" applyFont="1" applyFill="1" applyBorder="1" applyAlignment="1">
      <alignment horizontal="right" vertical="center"/>
    </xf>
    <xf numFmtId="0" fontId="35" fillId="20" borderId="10" xfId="0" applyFont="1" applyFill="1" applyBorder="1" applyAlignment="1">
      <alignment horizontal="left" vertical="center"/>
    </xf>
    <xf numFmtId="0" fontId="28" fillId="20" borderId="12" xfId="0" applyFont="1" applyFill="1" applyBorder="1" applyAlignment="1">
      <alignment vertical="center"/>
    </xf>
    <xf numFmtId="0" fontId="36" fillId="0" borderId="0" xfId="0" applyFont="1" applyAlignment="1">
      <alignment vertical="center"/>
    </xf>
    <xf numFmtId="0" fontId="38" fillId="20" borderId="0" xfId="0" applyFont="1" applyFill="1" applyBorder="1"/>
    <xf numFmtId="0" fontId="24" fillId="20" borderId="0" xfId="0" applyFont="1" applyFill="1" applyBorder="1" applyAlignment="1">
      <alignment vertical="center"/>
    </xf>
    <xf numFmtId="0" fontId="24" fillId="20" borderId="0" xfId="0" applyFont="1" applyFill="1" applyBorder="1" applyAlignment="1" applyProtection="1">
      <alignment horizontal="left" vertical="center"/>
      <protection locked="0"/>
    </xf>
    <xf numFmtId="0" fontId="24" fillId="20" borderId="0" xfId="0" applyFont="1" applyFill="1" applyBorder="1" applyAlignment="1" applyProtection="1">
      <alignment horizontal="right" vertical="center" indent="1"/>
      <protection locked="0"/>
    </xf>
    <xf numFmtId="14" fontId="24" fillId="20" borderId="0" xfId="0" applyNumberFormat="1" applyFont="1" applyFill="1" applyBorder="1" applyAlignment="1" applyProtection="1">
      <alignment horizontal="left" vertical="center"/>
      <protection locked="0"/>
    </xf>
    <xf numFmtId="0" fontId="34" fillId="20" borderId="10" xfId="0" applyFont="1" applyFill="1" applyBorder="1" applyAlignment="1">
      <alignment vertical="top"/>
    </xf>
    <xf numFmtId="0" fontId="37" fillId="20" borderId="10" xfId="0" applyFont="1" applyFill="1" applyBorder="1" applyAlignment="1">
      <alignment vertical="top"/>
    </xf>
    <xf numFmtId="0" fontId="37" fillId="20" borderId="0" xfId="0" applyFont="1" applyFill="1" applyBorder="1" applyAlignment="1"/>
    <xf numFmtId="0" fontId="24" fillId="20" borderId="0" xfId="35" applyFont="1" applyFill="1" applyBorder="1" applyAlignment="1" applyProtection="1">
      <alignment horizontal="left" vertical="center" indent="1"/>
      <protection locked="0"/>
    </xf>
    <xf numFmtId="0" fontId="14" fillId="0" borderId="0" xfId="35" applyAlignment="1" applyProtection="1">
      <alignment horizontal="left"/>
    </xf>
    <xf numFmtId="0" fontId="24" fillId="20" borderId="0" xfId="35" applyFont="1" applyFill="1" applyBorder="1" applyAlignment="1" applyProtection="1">
      <alignment horizontal="right" vertical="center" indent="1"/>
      <protection locked="0"/>
    </xf>
    <xf numFmtId="0" fontId="39" fillId="0" borderId="0" xfId="0" applyFont="1" applyFill="1" applyBorder="1" applyAlignment="1">
      <alignment horizontal="left" vertical="center"/>
    </xf>
    <xf numFmtId="0" fontId="29" fillId="20" borderId="13" xfId="0" applyFont="1" applyFill="1" applyBorder="1"/>
    <xf numFmtId="0" fontId="32" fillId="20" borderId="13" xfId="0" applyFont="1" applyFill="1" applyBorder="1"/>
    <xf numFmtId="0" fontId="31" fillId="20" borderId="13" xfId="0" applyFont="1" applyFill="1" applyBorder="1" applyAlignment="1">
      <alignment horizontal="left" vertical="center" indent="1"/>
    </xf>
    <xf numFmtId="0" fontId="29" fillId="20" borderId="13" xfId="0" applyFont="1" applyFill="1" applyBorder="1" applyAlignment="1">
      <alignment vertical="center"/>
    </xf>
    <xf numFmtId="0" fontId="27" fillId="21" borderId="14" xfId="0" applyFont="1" applyFill="1" applyBorder="1" applyAlignment="1">
      <alignment horizontal="left" vertical="center" indent="1"/>
    </xf>
    <xf numFmtId="0" fontId="26" fillId="21" borderId="14" xfId="0" applyFont="1" applyFill="1" applyBorder="1" applyAlignment="1">
      <alignment vertical="center"/>
    </xf>
    <xf numFmtId="0" fontId="40" fillId="20" borderId="0" xfId="0" applyFont="1" applyFill="1" applyBorder="1" applyAlignment="1"/>
    <xf numFmtId="0" fontId="34" fillId="20" borderId="0" xfId="0" applyFont="1" applyFill="1" applyBorder="1" applyAlignment="1"/>
    <xf numFmtId="0" fontId="34" fillId="20" borderId="0" xfId="0" applyFont="1" applyFill="1" applyBorder="1" applyAlignment="1">
      <alignment horizontal="right"/>
    </xf>
    <xf numFmtId="0" fontId="33" fillId="20" borderId="15" xfId="0" applyFont="1" applyFill="1" applyBorder="1" applyAlignment="1">
      <alignment horizontal="right" vertical="top" indent="1"/>
    </xf>
    <xf numFmtId="0" fontId="25" fillId="20" borderId="15" xfId="0" applyFont="1" applyFill="1" applyBorder="1"/>
    <xf numFmtId="0" fontId="28" fillId="20" borderId="15" xfId="0" applyFont="1" applyFill="1" applyBorder="1" applyAlignment="1">
      <alignment horizontal="left"/>
    </xf>
    <xf numFmtId="0" fontId="8" fillId="20" borderId="15" xfId="0" applyFont="1" applyFill="1" applyBorder="1"/>
    <xf numFmtId="0" fontId="26" fillId="20" borderId="15" xfId="0" applyFont="1" applyFill="1" applyBorder="1"/>
    <xf numFmtId="0" fontId="26" fillId="20" borderId="16" xfId="0" applyFont="1" applyFill="1" applyBorder="1"/>
    <xf numFmtId="0" fontId="26" fillId="20" borderId="17" xfId="0" applyFont="1" applyFill="1" applyBorder="1"/>
    <xf numFmtId="0" fontId="26" fillId="20" borderId="18" xfId="0" applyFont="1" applyFill="1" applyBorder="1"/>
    <xf numFmtId="165" fontId="26" fillId="20" borderId="20" xfId="0" applyNumberFormat="1" applyFont="1" applyFill="1" applyBorder="1" applyAlignment="1" applyProtection="1">
      <alignment horizontal="right" vertical="center"/>
      <protection locked="0"/>
    </xf>
    <xf numFmtId="165" fontId="26" fillId="20" borderId="21" xfId="0" applyNumberFormat="1" applyFont="1" applyFill="1" applyBorder="1" applyAlignment="1" applyProtection="1">
      <alignment horizontal="right" vertical="center"/>
      <protection locked="0"/>
    </xf>
    <xf numFmtId="0" fontId="1" fillId="20" borderId="0" xfId="0" applyFont="1" applyFill="1" applyBorder="1" applyAlignment="1" applyProtection="1">
      <alignment horizontal="left" indent="1"/>
      <protection locked="0"/>
    </xf>
    <xf numFmtId="44" fontId="30" fillId="20" borderId="13" xfId="0" applyNumberFormat="1" applyFont="1" applyFill="1" applyBorder="1" applyAlignment="1">
      <alignment horizontal="right" vertical="center"/>
    </xf>
    <xf numFmtId="0" fontId="41" fillId="0" borderId="0" xfId="0" applyFont="1" applyAlignment="1">
      <alignment vertical="center"/>
    </xf>
    <xf numFmtId="0" fontId="41" fillId="0" borderId="0" xfId="0" applyFont="1"/>
    <xf numFmtId="0" fontId="8" fillId="0" borderId="0" xfId="0" applyFont="1" applyAlignment="1">
      <alignment horizontal="center" vertical="center"/>
    </xf>
    <xf numFmtId="0" fontId="0" fillId="0" borderId="22" xfId="0" applyBorder="1"/>
    <xf numFmtId="0" fontId="0" fillId="0" borderId="22" xfId="0" applyBorder="1" applyAlignment="1">
      <alignment horizontal="center" vertical="center"/>
    </xf>
    <xf numFmtId="44" fontId="27" fillId="21" borderId="14" xfId="0" applyNumberFormat="1" applyFont="1" applyFill="1" applyBorder="1" applyAlignment="1">
      <alignment horizontal="right" vertical="center" indent="1"/>
    </xf>
    <xf numFmtId="0" fontId="27" fillId="20" borderId="0" xfId="0" applyFont="1" applyFill="1" applyBorder="1" applyAlignment="1" applyProtection="1">
      <protection locked="0"/>
    </xf>
    <xf numFmtId="165" fontId="1" fillId="20" borderId="19" xfId="0" applyNumberFormat="1" applyFont="1" applyFill="1" applyBorder="1" applyAlignment="1" applyProtection="1">
      <alignment horizontal="right" vertical="center"/>
      <protection locked="0"/>
    </xf>
    <xf numFmtId="0" fontId="26" fillId="20" borderId="17" xfId="0" applyFont="1" applyFill="1" applyBorder="1" applyAlignment="1" applyProtection="1">
      <alignment vertical="center"/>
      <protection locked="0"/>
    </xf>
    <xf numFmtId="0" fontId="1" fillId="20" borderId="17" xfId="0" applyFont="1" applyFill="1" applyBorder="1" applyAlignment="1" applyProtection="1">
      <alignment vertical="center"/>
      <protection locked="0"/>
    </xf>
    <xf numFmtId="0" fontId="26" fillId="20" borderId="18" xfId="0" applyFont="1" applyFill="1" applyBorder="1" applyAlignment="1" applyProtection="1">
      <alignment vertical="center"/>
      <protection locked="0"/>
    </xf>
    <xf numFmtId="0" fontId="8" fillId="0" borderId="0" xfId="0" applyFont="1" applyAlignment="1"/>
    <xf numFmtId="0" fontId="41" fillId="0" borderId="0" xfId="0" applyFont="1" applyAlignment="1">
      <alignment horizontal="left" vertical="top" wrapText="1"/>
    </xf>
    <xf numFmtId="0" fontId="41" fillId="0" borderId="0" xfId="0" applyFont="1" applyAlignment="1">
      <alignment horizontal="left" vertical="top"/>
    </xf>
    <xf numFmtId="0" fontId="1" fillId="20" borderId="16" xfId="0" applyFont="1" applyFill="1" applyBorder="1" applyAlignment="1" applyProtection="1">
      <alignment horizontal="left" vertical="center"/>
      <protection locked="0"/>
    </xf>
    <xf numFmtId="0" fontId="35" fillId="20" borderId="10" xfId="0" applyFont="1" applyFill="1" applyBorder="1" applyAlignment="1">
      <alignment horizontal="left" vertical="center"/>
    </xf>
    <xf numFmtId="0" fontId="30" fillId="20" borderId="0" xfId="0" applyFont="1" applyFill="1" applyBorder="1" applyAlignment="1" applyProtection="1">
      <alignment horizontal="center" vertical="center"/>
      <protection locked="0"/>
    </xf>
    <xf numFmtId="0" fontId="29" fillId="20" borderId="0" xfId="0" applyFont="1" applyFill="1" applyBorder="1" applyAlignment="1">
      <alignment horizontal="center" vertical="center"/>
    </xf>
  </cellXfs>
  <cellStyles count="44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30" builtinId="26" customBuiltin="1"/>
    <cellStyle name="Cálculo" xfId="26" builtinId="22" customBuiltin="1"/>
    <cellStyle name="Célula de Verificação" xfId="27" builtinId="23" customBuiltin="1"/>
    <cellStyle name="Célula Vinculada" xfId="37" builtinId="24" customBuiltin="1"/>
    <cellStyle name="Ênfase1" xfId="19" builtinId="29" customBuiltin="1"/>
    <cellStyle name="Ênfase2" xfId="20" builtinId="33" customBuiltin="1"/>
    <cellStyle name="Ênfase3" xfId="21" builtinId="37" customBuiltin="1"/>
    <cellStyle name="Ênfase4" xfId="22" builtinId="41" customBuiltin="1"/>
    <cellStyle name="Ênfase5" xfId="23" builtinId="45" customBuiltin="1"/>
    <cellStyle name="Ênfase6" xfId="24" builtinId="49" customBuiltin="1"/>
    <cellStyle name="Entrada" xfId="36" builtinId="20" customBuiltin="1"/>
    <cellStyle name="Hiperlink" xfId="35" builtinId="8" customBuiltin="1"/>
    <cellStyle name="Neutro" xfId="38" builtinId="28" customBuiltin="1"/>
    <cellStyle name="Normal" xfId="0" builtinId="0"/>
    <cellStyle name="Nota" xfId="39" builtinId="10" customBuiltin="1"/>
    <cellStyle name="Ruim" xfId="25" builtinId="27" customBuiltin="1"/>
    <cellStyle name="Saída" xfId="40" builtinId="21" customBuiltin="1"/>
    <cellStyle name="Texto de Aviso" xfId="43" builtinId="11" customBuiltin="1"/>
    <cellStyle name="Texto Explicativo" xfId="29" builtinId="53" customBuiltin="1"/>
    <cellStyle name="Título" xfId="41" builtinId="15" customBuiltin="1"/>
    <cellStyle name="Título 1" xfId="31" builtinId="16" customBuiltin="1"/>
    <cellStyle name="Título 2" xfId="32" builtinId="17" customBuiltin="1"/>
    <cellStyle name="Título 3" xfId="33" builtinId="18" customBuiltin="1"/>
    <cellStyle name="Título 4" xfId="34" builtinId="19" customBuiltin="1"/>
    <cellStyle name="Total" xfId="42" builtinId="25" customBuiltin="1"/>
    <cellStyle name="Vírgula" xfId="28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1ED5FA"/>
      <color rgb="FF19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423365</xdr:colOff>
      <xdr:row>13</xdr:row>
      <xdr:rowOff>277328</xdr:rowOff>
    </xdr:from>
    <xdr:to>
      <xdr:col>7</xdr:col>
      <xdr:colOff>492924</xdr:colOff>
      <xdr:row>21</xdr:row>
      <xdr:rowOff>180338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 rot="19465808">
          <a:off x="613865" y="4096853"/>
          <a:ext cx="6260809" cy="2341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0" b="1">
              <a:solidFill>
                <a:schemeClr val="tx1">
                  <a:lumMod val="50000"/>
                  <a:lumOff val="50000"/>
                  <a:alpha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PAID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1</xdr:row>
          <xdr:rowOff>328613</xdr:rowOff>
        </xdr:from>
        <xdr:to>
          <xdr:col>20</xdr:col>
          <xdr:colOff>261938</xdr:colOff>
          <xdr:row>3</xdr:row>
          <xdr:rowOff>285750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Facet">
  <a:themeElements>
    <a:clrScheme name="Custom 3">
      <a:dk1>
        <a:sysClr val="windowText" lastClr="000000"/>
      </a:dk1>
      <a:lt1>
        <a:sysClr val="window" lastClr="FFFFFF"/>
      </a:lt1>
      <a:dk2>
        <a:srgbClr val="204559"/>
      </a:dk2>
      <a:lt2>
        <a:srgbClr val="F4EDE4"/>
      </a:lt2>
      <a:accent1>
        <a:srgbClr val="418AB3"/>
      </a:accent1>
      <a:accent2>
        <a:srgbClr val="87A33D"/>
      </a:accent2>
      <a:accent3>
        <a:srgbClr val="C34141"/>
      </a:accent3>
      <a:accent4>
        <a:srgbClr val="FF9900"/>
      </a:accent4>
      <a:accent5>
        <a:srgbClr val="2E6AB3"/>
      </a:accent5>
      <a:accent6>
        <a:srgbClr val="925DB3"/>
      </a:accent6>
      <a:hlink>
        <a:srgbClr val="7F7F7F"/>
      </a:hlink>
      <a:folHlink>
        <a:srgbClr val="A5A5A5"/>
      </a:folHlink>
    </a:clrScheme>
    <a:fontScheme name="Facet">
      <a:majorFont>
        <a:latin typeface="Trebuchet MS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AC40"/>
  <sheetViews>
    <sheetView showGridLines="0" tabSelected="1" zoomScale="70" zoomScaleNormal="70" workbookViewId="0">
      <selection activeCell="F6" sqref="F6"/>
    </sheetView>
  </sheetViews>
  <sheetFormatPr defaultRowHeight="12.75" x14ac:dyDescent="0.35"/>
  <cols>
    <col min="1" max="1" width="2.85546875" style="18" customWidth="1"/>
    <col min="2" max="2" width="17.42578125" style="18" customWidth="1"/>
    <col min="3" max="3" width="8.2109375" style="18" customWidth="1"/>
    <col min="4" max="4" width="30.140625" style="18" customWidth="1"/>
    <col min="5" max="5" width="20" style="18" customWidth="1"/>
    <col min="6" max="6" width="16" style="18" customWidth="1"/>
    <col min="7" max="7" width="13.7109375" style="18" customWidth="1"/>
    <col min="8" max="8" width="13.42578125" style="18" customWidth="1"/>
    <col min="9" max="9" width="2.85546875" style="18" customWidth="1"/>
    <col min="10" max="10" width="4.28515625" style="18" customWidth="1"/>
    <col min="11" max="11" width="24.5703125" style="18" customWidth="1"/>
    <col min="12" max="12" width="27.78515625" style="18" customWidth="1"/>
    <col min="13" max="13" width="44.42578125" style="18" hidden="1" customWidth="1"/>
    <col min="14" max="14" width="31.42578125" style="18" hidden="1" customWidth="1"/>
    <col min="15" max="15" width="23.78515625" style="18" hidden="1" customWidth="1"/>
    <col min="16" max="16" width="25.0703125" style="18" hidden="1" customWidth="1"/>
    <col min="17" max="17" width="11.5" style="18" hidden="1" customWidth="1"/>
    <col min="18" max="18" width="12.35546875" style="18" hidden="1" customWidth="1"/>
    <col min="19" max="19" width="19.5703125" style="18" hidden="1" customWidth="1"/>
    <col min="20" max="20" width="27.0703125" style="18" hidden="1" customWidth="1"/>
    <col min="21" max="25" width="9.140625" style="18"/>
    <col min="26" max="26" width="13.5" style="18" customWidth="1"/>
    <col min="27" max="27" width="25.28515625" style="18" customWidth="1"/>
    <col min="28" max="28" width="17.2109375" style="18" hidden="1" customWidth="1"/>
    <col min="29" max="16384" width="9.140625" style="18"/>
  </cols>
  <sheetData>
    <row r="1" spans="1:29" ht="18" customHeight="1" x14ac:dyDescent="0.35">
      <c r="A1" s="34"/>
      <c r="B1" s="34"/>
      <c r="C1" s="34"/>
      <c r="D1" s="34"/>
      <c r="E1" s="34"/>
      <c r="F1" s="34"/>
      <c r="G1" s="34"/>
      <c r="H1" s="34"/>
      <c r="I1" s="34"/>
    </row>
    <row r="2" spans="1:29" ht="37.5" customHeight="1" x14ac:dyDescent="0.95">
      <c r="A2" s="41"/>
      <c r="B2" s="52" t="s">
        <v>6</v>
      </c>
      <c r="C2" s="52"/>
      <c r="D2" s="52"/>
      <c r="E2" s="52"/>
      <c r="F2" s="53"/>
      <c r="G2" s="53"/>
      <c r="H2" s="54" t="s">
        <v>7</v>
      </c>
      <c r="I2" s="53"/>
      <c r="K2" s="43"/>
    </row>
    <row r="3" spans="1:29" ht="18" customHeight="1" x14ac:dyDescent="0.35">
      <c r="A3" s="40"/>
      <c r="B3" s="40"/>
      <c r="C3" s="40"/>
      <c r="D3" s="40"/>
      <c r="E3" s="40"/>
      <c r="F3" s="39"/>
      <c r="G3" s="39"/>
      <c r="H3" s="39"/>
      <c r="I3" s="39"/>
      <c r="K3" s="2"/>
      <c r="N3" s="69"/>
      <c r="O3" s="69"/>
      <c r="P3" s="69"/>
      <c r="Q3" s="69"/>
      <c r="R3" s="69"/>
    </row>
    <row r="4" spans="1:29" s="10" customFormat="1" ht="24" customHeight="1" x14ac:dyDescent="0.45">
      <c r="A4" s="35"/>
      <c r="B4" s="44" t="s">
        <v>9</v>
      </c>
      <c r="C4" s="42">
        <v>1</v>
      </c>
      <c r="D4" s="36"/>
      <c r="E4" s="36"/>
      <c r="F4" s="36"/>
      <c r="G4" s="37" t="s">
        <v>8</v>
      </c>
      <c r="H4" s="38">
        <f ca="1">TODAY()</f>
        <v>44203</v>
      </c>
      <c r="I4" s="35"/>
      <c r="K4" s="33"/>
      <c r="N4" s="69"/>
      <c r="O4" s="69"/>
      <c r="P4" s="69"/>
      <c r="Q4" s="69"/>
      <c r="R4" s="69"/>
    </row>
    <row r="5" spans="1:29" ht="24" customHeight="1" x14ac:dyDescent="0.45">
      <c r="A5" s="7"/>
      <c r="B5" s="44"/>
      <c r="C5" s="42"/>
      <c r="D5" s="3"/>
      <c r="E5" s="44"/>
      <c r="F5" s="42"/>
      <c r="G5" s="7"/>
      <c r="H5" s="7"/>
      <c r="I5" s="7"/>
      <c r="M5" s="70" t="s">
        <v>12</v>
      </c>
      <c r="N5" s="70" t="s">
        <v>13</v>
      </c>
      <c r="O5" s="70" t="s">
        <v>13</v>
      </c>
      <c r="P5" s="70" t="s">
        <v>18</v>
      </c>
      <c r="Q5" s="71" t="s">
        <v>32</v>
      </c>
      <c r="R5" s="71" t="s">
        <v>3</v>
      </c>
      <c r="S5" s="71" t="s">
        <v>4</v>
      </c>
      <c r="T5" s="71" t="s">
        <v>5</v>
      </c>
    </row>
    <row r="6" spans="1:29" ht="21" customHeight="1" x14ac:dyDescent="0.45">
      <c r="A6" s="7"/>
      <c r="B6" s="1" t="s">
        <v>10</v>
      </c>
      <c r="C6" s="65" t="s">
        <v>12</v>
      </c>
      <c r="D6" s="9"/>
      <c r="E6" s="1" t="s">
        <v>11</v>
      </c>
      <c r="F6" s="65" t="s">
        <v>35</v>
      </c>
      <c r="G6" s="73"/>
      <c r="H6" s="5"/>
      <c r="I6" s="13"/>
      <c r="K6" s="22"/>
      <c r="L6" s="23"/>
      <c r="M6" s="70" t="s">
        <v>26</v>
      </c>
      <c r="N6" s="70" t="s">
        <v>19</v>
      </c>
      <c r="O6" s="70" t="s">
        <v>25</v>
      </c>
      <c r="P6" s="70">
        <v>1234567</v>
      </c>
      <c r="Q6" s="71" t="s">
        <v>33</v>
      </c>
      <c r="R6" s="70">
        <v>1</v>
      </c>
      <c r="S6" s="70" t="str">
        <f>IF(Q6=$F$6,R6,"")</f>
        <v/>
      </c>
      <c r="T6" s="70">
        <f>IFERROR(SMALL($S$6:$S$11,R6),"")</f>
        <v>3</v>
      </c>
    </row>
    <row r="7" spans="1:29" ht="21" customHeight="1" x14ac:dyDescent="0.45">
      <c r="A7" s="7"/>
      <c r="B7" s="55"/>
      <c r="C7" s="65" t="s">
        <v>13</v>
      </c>
      <c r="D7" s="9"/>
      <c r="E7" s="55"/>
      <c r="F7" s="9" t="str">
        <f>IFERROR(INDEX($M$6:$Q$11,$T6,ROWS($F$7:F7)),"")</f>
        <v>Peter</v>
      </c>
      <c r="G7" s="5"/>
      <c r="H7" s="5"/>
      <c r="I7" s="13"/>
      <c r="J7" s="19"/>
      <c r="K7" s="33"/>
      <c r="L7" s="24"/>
      <c r="M7" s="70" t="s">
        <v>27</v>
      </c>
      <c r="N7" s="70" t="s">
        <v>20</v>
      </c>
      <c r="O7" s="70" t="s">
        <v>25</v>
      </c>
      <c r="P7" s="70">
        <v>7654321</v>
      </c>
      <c r="Q7" s="71" t="s">
        <v>34</v>
      </c>
      <c r="R7" s="70">
        <v>2</v>
      </c>
      <c r="S7" s="70" t="str">
        <f t="shared" ref="S7:S11" si="0">IF(Q7=$F$6,R7,"")</f>
        <v/>
      </c>
      <c r="T7" s="70" t="str">
        <f t="shared" ref="T7:T11" si="1">IFERROR(SMALL($S$6:$S$11,R7),"")</f>
        <v/>
      </c>
    </row>
    <row r="8" spans="1:29" ht="21" customHeight="1" x14ac:dyDescent="0.45">
      <c r="A8" s="7"/>
      <c r="B8" s="58"/>
      <c r="C8" s="65" t="s">
        <v>13</v>
      </c>
      <c r="D8" s="9"/>
      <c r="E8" s="56"/>
      <c r="F8" s="9" t="str">
        <f>IFERROR(INDEX($M$6:$Q$11,$T6,ROWS($F$7:F8)),"")</f>
        <v>Street 3</v>
      </c>
      <c r="G8" s="5"/>
      <c r="H8" s="5"/>
      <c r="I8" s="13"/>
      <c r="K8" s="22"/>
      <c r="L8" s="25"/>
      <c r="M8" s="70" t="s">
        <v>28</v>
      </c>
      <c r="N8" s="70" t="s">
        <v>21</v>
      </c>
      <c r="O8" s="70" t="s">
        <v>25</v>
      </c>
      <c r="P8" s="70">
        <v>1346809</v>
      </c>
      <c r="Q8" s="71" t="s">
        <v>35</v>
      </c>
      <c r="R8" s="70">
        <v>3</v>
      </c>
      <c r="S8" s="70">
        <f t="shared" si="0"/>
        <v>3</v>
      </c>
      <c r="T8" s="70" t="str">
        <f t="shared" si="1"/>
        <v/>
      </c>
    </row>
    <row r="9" spans="1:29" ht="21" customHeight="1" x14ac:dyDescent="0.45">
      <c r="A9" s="7"/>
      <c r="B9" s="59"/>
      <c r="C9" s="65" t="s">
        <v>13</v>
      </c>
      <c r="D9" s="9"/>
      <c r="E9" s="56"/>
      <c r="F9" s="9" t="str">
        <f>IFERROR(INDEX($M$6:$Q$11,$T6,ROWS($F$7:F9)),"")</f>
        <v>Spain</v>
      </c>
      <c r="G9" s="13"/>
      <c r="H9" s="5"/>
      <c r="I9" s="13"/>
      <c r="K9" s="33"/>
      <c r="L9" s="26"/>
      <c r="M9" s="70" t="s">
        <v>29</v>
      </c>
      <c r="N9" s="70" t="s">
        <v>22</v>
      </c>
      <c r="O9" s="70" t="s">
        <v>25</v>
      </c>
      <c r="P9" s="70">
        <v>90864</v>
      </c>
      <c r="Q9" s="71" t="s">
        <v>36</v>
      </c>
      <c r="R9" s="70">
        <v>4</v>
      </c>
      <c r="S9" s="70" t="str">
        <f t="shared" si="0"/>
        <v/>
      </c>
      <c r="T9" s="70" t="str">
        <f t="shared" si="1"/>
        <v/>
      </c>
    </row>
    <row r="10" spans="1:29" ht="21" customHeight="1" x14ac:dyDescent="0.45">
      <c r="A10" s="7"/>
      <c r="B10" s="57"/>
      <c r="C10" s="65" t="s">
        <v>14</v>
      </c>
      <c r="D10" s="9"/>
      <c r="E10" s="57"/>
      <c r="F10" s="9">
        <f>IFERROR(INDEX($M$6:$Q$11,$T6,ROWS($F$7:F10)),"")</f>
        <v>1346809</v>
      </c>
      <c r="G10" s="13"/>
      <c r="H10" s="13"/>
      <c r="I10" s="13"/>
      <c r="K10" s="33"/>
      <c r="L10" s="22"/>
      <c r="M10" s="70" t="s">
        <v>30</v>
      </c>
      <c r="N10" s="70" t="s">
        <v>23</v>
      </c>
      <c r="O10" s="70" t="s">
        <v>25</v>
      </c>
      <c r="P10" s="70">
        <v>123456</v>
      </c>
      <c r="Q10" s="71" t="s">
        <v>37</v>
      </c>
      <c r="R10" s="70">
        <v>5</v>
      </c>
      <c r="S10" s="70" t="str">
        <f t="shared" si="0"/>
        <v/>
      </c>
      <c r="T10" s="70" t="str">
        <f t="shared" si="1"/>
        <v/>
      </c>
    </row>
    <row r="11" spans="1:29" ht="31.5" customHeight="1" x14ac:dyDescent="0.45">
      <c r="A11" s="7"/>
      <c r="B11" s="11"/>
      <c r="C11" s="9"/>
      <c r="D11" s="9"/>
      <c r="E11" s="11"/>
      <c r="F11" s="9"/>
      <c r="G11" s="13"/>
      <c r="H11" s="13"/>
      <c r="I11" s="13"/>
      <c r="K11" s="33"/>
      <c r="L11" s="23"/>
      <c r="M11" s="70" t="s">
        <v>31</v>
      </c>
      <c r="N11" s="70" t="s">
        <v>24</v>
      </c>
      <c r="O11" s="70" t="s">
        <v>25</v>
      </c>
      <c r="P11" s="70">
        <v>98765432</v>
      </c>
      <c r="Q11" s="71" t="s">
        <v>38</v>
      </c>
      <c r="R11" s="70">
        <v>6</v>
      </c>
      <c r="S11" s="70" t="str">
        <f t="shared" si="0"/>
        <v/>
      </c>
      <c r="T11" s="70" t="str">
        <f t="shared" si="1"/>
        <v/>
      </c>
      <c r="AB11" s="78" t="s">
        <v>40</v>
      </c>
      <c r="AC11" s="78"/>
    </row>
    <row r="12" spans="1:29" ht="18.75" customHeight="1" x14ac:dyDescent="0.35">
      <c r="A12" s="27"/>
      <c r="B12" s="82" t="s">
        <v>15</v>
      </c>
      <c r="C12" s="82"/>
      <c r="D12" s="82"/>
      <c r="E12" s="82"/>
      <c r="F12" s="82"/>
      <c r="G12" s="82"/>
      <c r="H12" s="30" t="s">
        <v>16</v>
      </c>
      <c r="I12" s="32"/>
      <c r="K12" s="33"/>
      <c r="AB12" s="78" t="s">
        <v>41</v>
      </c>
      <c r="AC12" s="78"/>
    </row>
    <row r="13" spans="1:29" ht="24" customHeight="1" x14ac:dyDescent="0.35">
      <c r="A13" s="60"/>
      <c r="B13" s="81" t="s">
        <v>39</v>
      </c>
      <c r="C13" s="81"/>
      <c r="D13" s="75" t="s">
        <v>41</v>
      </c>
      <c r="E13" s="75"/>
      <c r="F13" s="75"/>
      <c r="G13" s="75"/>
      <c r="H13" s="74">
        <f>IF(F6="Fraction A", 15.64, IF(F6="Fraction B", 36.24, IF(F6="Fraction C", 36.62, IF(F6="Fraction D", 32.48, IF(F6="Fraction E", 33.11, IF(F6="Fraction F", 91.57, )) )) )  )</f>
        <v>36.619999999999997</v>
      </c>
      <c r="I13" s="60"/>
      <c r="K13" s="33"/>
      <c r="AB13" s="78" t="s">
        <v>42</v>
      </c>
      <c r="AC13" s="78"/>
    </row>
    <row r="14" spans="1:29" ht="24" customHeight="1" x14ac:dyDescent="0.35">
      <c r="A14" s="61"/>
      <c r="H14" s="63"/>
      <c r="I14" s="61"/>
      <c r="K14" s="33"/>
      <c r="AB14" s="78" t="s">
        <v>43</v>
      </c>
      <c r="AC14" s="78"/>
    </row>
    <row r="15" spans="1:29" ht="24" customHeight="1" x14ac:dyDescent="0.35">
      <c r="A15" s="61"/>
      <c r="B15" s="75"/>
      <c r="C15" s="75"/>
      <c r="D15" s="75"/>
      <c r="E15" s="75"/>
      <c r="F15" s="75"/>
      <c r="G15" s="75"/>
      <c r="H15" s="63"/>
      <c r="I15" s="61"/>
      <c r="K15" s="33"/>
      <c r="AB15" s="78" t="s">
        <v>44</v>
      </c>
      <c r="AC15" s="78"/>
    </row>
    <row r="16" spans="1:29" ht="24" customHeight="1" x14ac:dyDescent="0.35">
      <c r="A16" s="61"/>
      <c r="B16" s="75"/>
      <c r="C16" s="75"/>
      <c r="D16" s="75"/>
      <c r="E16" s="75"/>
      <c r="F16" s="75"/>
      <c r="G16" s="75"/>
      <c r="H16" s="63"/>
      <c r="I16" s="61"/>
      <c r="K16" s="33"/>
      <c r="AB16" s="78" t="s">
        <v>45</v>
      </c>
      <c r="AC16" s="78"/>
    </row>
    <row r="17" spans="1:29" ht="24" customHeight="1" x14ac:dyDescent="0.35">
      <c r="A17" s="61"/>
      <c r="B17" s="76"/>
      <c r="C17" s="75"/>
      <c r="D17" s="75"/>
      <c r="E17" s="75"/>
      <c r="F17" s="75"/>
      <c r="G17" s="75"/>
      <c r="H17" s="63"/>
      <c r="I17" s="61"/>
      <c r="K17" s="33"/>
      <c r="AB17" s="78" t="s">
        <v>46</v>
      </c>
      <c r="AC17" s="78"/>
    </row>
    <row r="18" spans="1:29" ht="24" customHeight="1" x14ac:dyDescent="0.35">
      <c r="A18" s="61"/>
      <c r="B18" s="75"/>
      <c r="C18" s="75"/>
      <c r="D18" s="75"/>
      <c r="E18" s="75"/>
      <c r="F18" s="75"/>
      <c r="G18" s="75"/>
      <c r="H18" s="63"/>
      <c r="I18" s="61"/>
      <c r="AB18" s="78" t="s">
        <v>47</v>
      </c>
      <c r="AC18" s="78"/>
    </row>
    <row r="19" spans="1:29" ht="24" customHeight="1" x14ac:dyDescent="0.35">
      <c r="A19" s="61"/>
      <c r="B19" s="75"/>
      <c r="C19" s="75"/>
      <c r="D19" s="75"/>
      <c r="E19" s="75"/>
      <c r="F19" s="75"/>
      <c r="G19" s="75"/>
      <c r="H19" s="63"/>
      <c r="I19" s="61"/>
      <c r="AB19" s="78" t="s">
        <v>48</v>
      </c>
      <c r="AC19" s="78"/>
    </row>
    <row r="20" spans="1:29" ht="24" customHeight="1" x14ac:dyDescent="0.35">
      <c r="A20" s="61"/>
      <c r="B20" s="75"/>
      <c r="C20" s="75"/>
      <c r="D20" s="75"/>
      <c r="E20" s="75"/>
      <c r="F20" s="75"/>
      <c r="G20" s="75"/>
      <c r="H20" s="63"/>
      <c r="I20" s="61"/>
      <c r="AB20" s="78" t="s">
        <v>49</v>
      </c>
      <c r="AC20" s="78"/>
    </row>
    <row r="21" spans="1:29" ht="24" customHeight="1" x14ac:dyDescent="0.35">
      <c r="A21" s="61"/>
      <c r="B21" s="75"/>
      <c r="C21" s="75"/>
      <c r="D21" s="75"/>
      <c r="E21" s="75"/>
      <c r="F21" s="75"/>
      <c r="G21" s="75"/>
      <c r="H21" s="63"/>
      <c r="I21" s="61"/>
      <c r="AB21" s="78" t="s">
        <v>50</v>
      </c>
      <c r="AC21" s="78"/>
    </row>
    <row r="22" spans="1:29" ht="24" customHeight="1" x14ac:dyDescent="0.35">
      <c r="A22" s="61"/>
      <c r="B22" s="75"/>
      <c r="C22" s="75"/>
      <c r="D22" s="75"/>
      <c r="E22" s="75"/>
      <c r="F22" s="75"/>
      <c r="G22" s="75"/>
      <c r="H22" s="63"/>
      <c r="I22" s="61"/>
      <c r="AB22" s="78" t="s">
        <v>51</v>
      </c>
      <c r="AC22" s="78"/>
    </row>
    <row r="23" spans="1:29" ht="24" customHeight="1" x14ac:dyDescent="0.35">
      <c r="A23" s="61"/>
      <c r="B23" s="75"/>
      <c r="C23" s="75"/>
      <c r="D23" s="75"/>
      <c r="E23" s="75"/>
      <c r="F23" s="75"/>
      <c r="G23" s="75"/>
      <c r="H23" s="63"/>
      <c r="I23" s="61"/>
    </row>
    <row r="24" spans="1:29" ht="24" customHeight="1" x14ac:dyDescent="0.35">
      <c r="A24" s="61"/>
      <c r="B24" s="75"/>
      <c r="C24" s="75"/>
      <c r="D24" s="75"/>
      <c r="E24" s="75"/>
      <c r="F24" s="75"/>
      <c r="G24" s="75"/>
      <c r="H24" s="63"/>
      <c r="I24" s="61"/>
    </row>
    <row r="25" spans="1:29" ht="24" customHeight="1" x14ac:dyDescent="0.35">
      <c r="A25" s="61"/>
      <c r="B25" s="75"/>
      <c r="C25" s="75"/>
      <c r="D25" s="75"/>
      <c r="E25" s="75"/>
      <c r="F25" s="75"/>
      <c r="G25" s="75"/>
      <c r="H25" s="63"/>
      <c r="I25" s="61"/>
    </row>
    <row r="26" spans="1:29" ht="24" customHeight="1" x14ac:dyDescent="0.35">
      <c r="A26" s="61"/>
      <c r="B26" s="75"/>
      <c r="C26" s="75"/>
      <c r="D26" s="75"/>
      <c r="E26" s="75"/>
      <c r="F26" s="75"/>
      <c r="G26" s="75"/>
      <c r="H26" s="63"/>
      <c r="I26" s="61"/>
    </row>
    <row r="27" spans="1:29" ht="24" customHeight="1" x14ac:dyDescent="0.35">
      <c r="A27" s="62"/>
      <c r="B27" s="77"/>
      <c r="C27" s="77"/>
      <c r="D27" s="77"/>
      <c r="E27" s="77"/>
      <c r="F27" s="77"/>
      <c r="G27" s="77"/>
      <c r="H27" s="64"/>
      <c r="I27" s="62"/>
      <c r="K27" s="33"/>
    </row>
    <row r="28" spans="1:29" ht="19.5" customHeight="1" thickBot="1" x14ac:dyDescent="0.4">
      <c r="A28" s="46"/>
      <c r="B28" s="46"/>
      <c r="C28" s="46"/>
      <c r="D28" s="46"/>
      <c r="E28" s="46"/>
      <c r="F28" s="47"/>
      <c r="G28" s="48" t="s">
        <v>1</v>
      </c>
      <c r="H28" s="66">
        <f>SUM(H13:H27)</f>
        <v>36.619999999999997</v>
      </c>
      <c r="I28" s="49"/>
      <c r="K28" s="33"/>
    </row>
    <row r="29" spans="1:29" ht="19.5" customHeight="1" thickTop="1" x14ac:dyDescent="0.35">
      <c r="A29" s="19"/>
      <c r="B29" s="31" t="s">
        <v>17</v>
      </c>
      <c r="C29" s="28"/>
      <c r="D29" s="28"/>
      <c r="E29" s="29"/>
      <c r="F29" s="14"/>
      <c r="G29" s="50" t="s">
        <v>0</v>
      </c>
      <c r="H29" s="72">
        <f>H28</f>
        <v>36.619999999999997</v>
      </c>
      <c r="I29" s="51"/>
      <c r="K29" s="33"/>
    </row>
    <row r="30" spans="1:29" ht="19.5" customHeight="1" x14ac:dyDescent="0.35">
      <c r="A30" s="19"/>
      <c r="B30" s="67"/>
      <c r="C30" s="6"/>
      <c r="D30" s="6"/>
      <c r="E30" s="19"/>
      <c r="F30" s="14"/>
      <c r="G30" s="16"/>
      <c r="H30" s="15"/>
      <c r="I30" s="8"/>
      <c r="K30" s="33"/>
    </row>
    <row r="31" spans="1:29" ht="19.5" customHeight="1" x14ac:dyDescent="0.35">
      <c r="A31" s="8"/>
      <c r="B31" s="67"/>
      <c r="C31" s="6"/>
      <c r="D31" s="6"/>
      <c r="E31" s="12"/>
      <c r="F31" s="14"/>
      <c r="G31" s="16"/>
      <c r="H31" s="15"/>
      <c r="I31" s="8"/>
      <c r="K31" s="33"/>
    </row>
    <row r="32" spans="1:29" ht="31.5" customHeight="1" x14ac:dyDescent="0.35">
      <c r="A32" s="8"/>
      <c r="B32" s="79"/>
      <c r="C32" s="80"/>
      <c r="D32" s="80"/>
      <c r="E32" s="80"/>
      <c r="F32" s="14"/>
      <c r="G32" s="16"/>
      <c r="H32" s="15"/>
      <c r="I32" s="8"/>
      <c r="K32" s="33"/>
    </row>
    <row r="33" spans="1:11" ht="19.5" customHeight="1" x14ac:dyDescent="0.35">
      <c r="A33" s="8"/>
      <c r="B33" s="68"/>
      <c r="E33" s="6"/>
      <c r="F33" s="14"/>
    </row>
    <row r="34" spans="1:11" s="20" customFormat="1" ht="19.5" customHeight="1" x14ac:dyDescent="0.45">
      <c r="A34" s="8"/>
      <c r="E34" s="6"/>
      <c r="F34" s="8"/>
      <c r="G34" s="8"/>
      <c r="H34" s="8"/>
      <c r="I34" s="8"/>
    </row>
    <row r="35" spans="1:11" s="20" customFormat="1" ht="15" customHeight="1" x14ac:dyDescent="0.45">
      <c r="A35" s="8"/>
      <c r="B35" s="6"/>
      <c r="C35" s="6"/>
      <c r="D35" s="6"/>
      <c r="E35" s="6"/>
      <c r="F35" s="8"/>
      <c r="G35" s="84"/>
      <c r="H35" s="84"/>
      <c r="I35" s="84"/>
    </row>
    <row r="36" spans="1:11" s="20" customFormat="1" ht="15" customHeight="1" x14ac:dyDescent="0.45">
      <c r="A36" s="21"/>
      <c r="C36" s="21"/>
      <c r="D36" s="21"/>
      <c r="E36" s="21"/>
      <c r="F36" s="17"/>
      <c r="G36" s="83"/>
      <c r="H36" s="83"/>
      <c r="I36" s="83"/>
      <c r="K36" s="33"/>
    </row>
    <row r="37" spans="1:11" s="20" customFormat="1" ht="15" customHeight="1" x14ac:dyDescent="0.45">
      <c r="A37" s="8"/>
      <c r="B37" s="45" t="s">
        <v>2</v>
      </c>
      <c r="C37" s="4"/>
      <c r="D37" s="4"/>
      <c r="E37" s="4"/>
      <c r="F37" s="8"/>
      <c r="G37" s="8"/>
      <c r="H37" s="8"/>
      <c r="I37" s="8"/>
    </row>
    <row r="38" spans="1:11" s="20" customFormat="1" ht="15" customHeight="1" x14ac:dyDescent="0.45">
      <c r="A38" s="8"/>
      <c r="B38" s="45"/>
      <c r="C38" s="4"/>
      <c r="D38" s="4"/>
      <c r="E38" s="4"/>
      <c r="F38" s="8"/>
      <c r="G38" s="8"/>
      <c r="H38" s="8"/>
      <c r="I38" s="8"/>
    </row>
    <row r="39" spans="1:11" x14ac:dyDescent="0.35">
      <c r="K39" s="20"/>
    </row>
    <row r="40" spans="1:11" x14ac:dyDescent="0.35">
      <c r="K40" s="20"/>
    </row>
  </sheetData>
  <mergeCells count="5">
    <mergeCell ref="B32:E32"/>
    <mergeCell ref="B13:C13"/>
    <mergeCell ref="B12:G12"/>
    <mergeCell ref="G36:I36"/>
    <mergeCell ref="G35:I35"/>
  </mergeCells>
  <phoneticPr fontId="42" type="noConversion"/>
  <dataValidations count="2">
    <dataValidation type="list" allowBlank="1" showInputMessage="1" showErrorMessage="1" sqref="F6:G6" xr:uid="{B3763D29-453E-4E78-AF7E-91220F714016}">
      <formula1>$Q$6:$Q$11</formula1>
    </dataValidation>
    <dataValidation type="list" allowBlank="1" showInputMessage="1" showErrorMessage="1" sqref="D13" xr:uid="{D61BBF66-81E3-43F6-863D-85F76036DBCC}">
      <formula1>$AB$11:$AB$22</formula1>
    </dataValidation>
  </dataValidations>
  <printOptions horizontalCentered="1"/>
  <pageMargins left="0.25" right="0.25" top="0.35" bottom="0.35" header="0.25" footer="0.25"/>
  <pageSetup paperSize="9" scale="84" fitToHeight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190500</xdr:colOff>
                <xdr:row>1</xdr:row>
                <xdr:rowOff>328613</xdr:rowOff>
              </from>
              <to>
                <xdr:col>20</xdr:col>
                <xdr:colOff>261938</xdr:colOff>
                <xdr:row>3</xdr:row>
                <xdr:rowOff>285750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Simple Receipt (light)</vt:lpstr>
      <vt:lpstr>'Simple Receipt (light)'!Area_de_impressao</vt:lpstr>
    </vt:vector>
  </TitlesOfParts>
  <Company>Vertex42 LLC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Simple Receipt Template</dc:title>
  <dc:creator>Vertex42.com</dc:creator>
  <dc:description>(c) 2013-2014 Vertex42 LLC. All Rights Reserved.</dc:description>
  <cp:lastModifiedBy>Luis Teixeira</cp:lastModifiedBy>
  <cp:lastPrinted>2021-01-07T11:37:28Z</cp:lastPrinted>
  <dcterms:created xsi:type="dcterms:W3CDTF">2004-08-16T18:44:14Z</dcterms:created>
  <dcterms:modified xsi:type="dcterms:W3CDTF">2021-01-07T11:37:45Z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2013-2014 Vertex42 LLC</vt:lpwstr>
  </property>
  <property fmtid="{D5CDD505-2E9C-101B-9397-08002B2CF9AE}" pid="3" name="Version">
    <vt:lpwstr>1.1.1</vt:lpwstr>
  </property>
  <property fmtid="{D5CDD505-2E9C-101B-9397-08002B2CF9AE}" pid="4" name="Source">
    <vt:lpwstr>https://www.vertex42.com/ExcelTemplates/simple-receipt-template.html</vt:lpwstr>
  </property>
</Properties>
</file>